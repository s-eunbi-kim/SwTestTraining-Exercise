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B:\100_Claude_Session\270721_Test Exercise\RPAS\docs\"/>
    </mc:Choice>
  </mc:AlternateContent>
  <xr:revisionPtr revIDLastSave="0" documentId="13_ncr:1_{0C164681-24A8-4E32-8097-167A87E0159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00_Summary" sheetId="1" r:id="rId1"/>
    <sheet name="02_RPAS_Testcase" sheetId="3" r:id="rId2"/>
    <sheet name="03_Requirements_Coverage" sheetId="4" r:id="rId3"/>
  </sheets>
  <calcPr calcId="181029"/>
</workbook>
</file>

<file path=xl/calcChain.xml><?xml version="1.0" encoding="utf-8"?>
<calcChain xmlns="http://schemas.openxmlformats.org/spreadsheetml/2006/main">
  <c r="D5" i="4" l="1"/>
  <c r="D17" i="4"/>
  <c r="D16" i="4"/>
  <c r="D15" i="4"/>
  <c r="D14" i="4"/>
  <c r="D13" i="4"/>
  <c r="D12" i="4"/>
  <c r="D11" i="4"/>
  <c r="D10" i="4"/>
  <c r="D9" i="4"/>
  <c r="D8" i="4"/>
  <c r="D7" i="4"/>
  <c r="D6" i="4"/>
  <c r="C6" i="4"/>
  <c r="C7" i="4"/>
  <c r="C8" i="4"/>
  <c r="C9" i="4"/>
  <c r="C10" i="4"/>
  <c r="C11" i="4"/>
  <c r="C12" i="4"/>
  <c r="C13" i="4"/>
  <c r="C14" i="4"/>
  <c r="C15" i="4"/>
  <c r="C16" i="4"/>
  <c r="C17" i="4"/>
  <c r="C5" i="4"/>
  <c r="E7" i="1"/>
  <c r="H6" i="1"/>
  <c r="E6" i="1"/>
  <c r="H5" i="1"/>
  <c r="E5" i="1"/>
  <c r="B6" i="1" s="1"/>
  <c r="B5" i="1"/>
  <c r="E8" i="1" l="1"/>
  <c r="H8" i="1"/>
  <c r="B7" i="1"/>
  <c r="H7" i="1"/>
</calcChain>
</file>

<file path=xl/sharedStrings.xml><?xml version="1.0" encoding="utf-8"?>
<sst xmlns="http://schemas.openxmlformats.org/spreadsheetml/2006/main" count="97" uniqueCount="68">
  <si>
    <t>Metric</t>
  </si>
  <si>
    <t>Value</t>
  </si>
  <si>
    <t>Result</t>
  </si>
  <si>
    <t>Coverage</t>
  </si>
  <si>
    <t>Pass</t>
  </si>
  <si>
    <t>Executed Testcase</t>
  </si>
  <si>
    <t>Fail</t>
  </si>
  <si>
    <t>Covered Requirements</t>
  </si>
  <si>
    <t>Execution Rate</t>
  </si>
  <si>
    <t>N/A</t>
  </si>
  <si>
    <t>Coverage Rate</t>
  </si>
  <si>
    <t>Not Tested</t>
  </si>
  <si>
    <t>Not Covered</t>
  </si>
  <si>
    <t>No.</t>
  </si>
  <si>
    <t>TC ID</t>
  </si>
  <si>
    <t>SRS ID</t>
  </si>
  <si>
    <t>Purpose</t>
  </si>
  <si>
    <t>Verification Type</t>
  </si>
  <si>
    <t>Pre-condition</t>
  </si>
  <si>
    <t>Test Procedure</t>
  </si>
  <si>
    <t>Input</t>
  </si>
  <si>
    <t>Expected Result</t>
  </si>
  <si>
    <t>Remarks</t>
  </si>
  <si>
    <t>Actual Result</t>
  </si>
  <si>
    <t>Severity</t>
  </si>
  <si>
    <t>Priority</t>
  </si>
  <si>
    <t>02_SLAS_Testcase Testcase</t>
  </si>
  <si>
    <t>SLAS Requirements Coverage</t>
  </si>
  <si>
    <t>Requirement ID</t>
  </si>
  <si>
    <t>Requirement Summary</t>
  </si>
  <si>
    <t>Mapped TC Count</t>
  </si>
  <si>
    <t>Coverage Status</t>
  </si>
  <si>
    <t>Related TC ID</t>
  </si>
  <si>
    <t>Coverage Note</t>
  </si>
  <si>
    <t>&lt;SLAS_RPAS&gt; Testcase</t>
  </si>
  <si>
    <r>
      <t>SRS ID</t>
    </r>
    <r>
      <rPr>
        <b/>
        <sz val="11"/>
        <color rgb="FF111827"/>
        <rFont val="맑은 고딕"/>
        <family val="3"/>
        <charset val="129"/>
      </rPr>
      <t>가</t>
    </r>
    <r>
      <rPr>
        <b/>
        <sz val="11"/>
        <color rgb="FF111827"/>
        <rFont val="Arial"/>
        <family val="2"/>
      </rPr>
      <t xml:space="preserve"> TC</t>
    </r>
    <r>
      <rPr>
        <b/>
        <sz val="11"/>
        <color rgb="FF111827"/>
        <rFont val="맑은 고딕"/>
        <family val="3"/>
        <charset val="129"/>
      </rPr>
      <t>에</t>
    </r>
    <r>
      <rPr>
        <b/>
        <sz val="11"/>
        <color rgb="FF111827"/>
        <rFont val="Arial"/>
        <family val="2"/>
      </rPr>
      <t xml:space="preserve"> </t>
    </r>
    <r>
      <rPr>
        <b/>
        <sz val="11"/>
        <color rgb="FF111827"/>
        <rFont val="맑은 고딕"/>
        <family val="3"/>
        <charset val="129"/>
      </rPr>
      <t>최소</t>
    </r>
    <r>
      <rPr>
        <b/>
        <sz val="11"/>
        <color rgb="FF111827"/>
        <rFont val="Arial"/>
        <family val="2"/>
      </rPr>
      <t xml:space="preserve"> 1</t>
    </r>
    <r>
      <rPr>
        <b/>
        <sz val="11"/>
        <color rgb="FF111827"/>
        <rFont val="맑은 고딕"/>
        <family val="3"/>
        <charset val="129"/>
      </rPr>
      <t>회</t>
    </r>
    <r>
      <rPr>
        <b/>
        <sz val="11"/>
        <color rgb="FF111827"/>
        <rFont val="Arial"/>
        <family val="2"/>
      </rPr>
      <t xml:space="preserve"> </t>
    </r>
    <r>
      <rPr>
        <b/>
        <sz val="11"/>
        <color rgb="FF111827"/>
        <rFont val="맑은 고딕"/>
        <family val="3"/>
        <charset val="129"/>
      </rPr>
      <t>이상</t>
    </r>
    <r>
      <rPr>
        <b/>
        <sz val="11"/>
        <color rgb="FF111827"/>
        <rFont val="Arial"/>
        <family val="2"/>
      </rPr>
      <t xml:space="preserve"> </t>
    </r>
    <r>
      <rPr>
        <b/>
        <sz val="11"/>
        <color rgb="FF111827"/>
        <rFont val="맑은 고딕"/>
        <family val="3"/>
        <charset val="129"/>
      </rPr>
      <t>연결되었는지</t>
    </r>
    <r>
      <rPr>
        <b/>
        <sz val="11"/>
        <color rgb="FF111827"/>
        <rFont val="Arial"/>
        <family val="2"/>
      </rPr>
      <t xml:space="preserve"> </t>
    </r>
    <r>
      <rPr>
        <b/>
        <sz val="11"/>
        <color rgb="FF111827"/>
        <rFont val="맑은 고딕"/>
        <family val="3"/>
        <charset val="129"/>
      </rPr>
      <t>확인한다</t>
    </r>
    <r>
      <rPr>
        <b/>
        <sz val="11"/>
        <color rgb="FF111827"/>
        <rFont val="Arial"/>
        <family val="2"/>
      </rPr>
      <t xml:space="preserve">. </t>
    </r>
    <r>
      <rPr>
        <b/>
        <sz val="11"/>
        <color rgb="FF111827"/>
        <rFont val="맑은 고딕"/>
        <family val="3"/>
        <charset val="129"/>
      </rPr>
      <t>(요구사항 커버리지 100%)</t>
    </r>
    <phoneticPr fontId="8" type="noConversion"/>
  </si>
  <si>
    <t>SRS ID가 TC에 최소 1회 이상 연결되었는지 확인한다. 검증 기법이 아니라 커버리지 상태를 측정한다.</t>
  </si>
  <si>
    <t>01_RPAS_Testcase</t>
    <phoneticPr fontId="8" type="noConversion"/>
  </si>
  <si>
    <t>RPAS Requirements Traceability</t>
    <phoneticPr fontId="8" type="noConversion"/>
  </si>
  <si>
    <t>&lt;RPAS&gt; Test Summary</t>
    <phoneticPr fontId="8" type="noConversion"/>
  </si>
  <si>
    <t>RPAS Testcase Total</t>
    <phoneticPr fontId="8" type="noConversion"/>
  </si>
  <si>
    <t>RPAS Requirement Total</t>
    <phoneticPr fontId="8" type="noConversion"/>
  </si>
  <si>
    <t>RS-001-a</t>
  </si>
  <si>
    <t>스마트키-차량 거리 10.05m 이하</t>
  </si>
  <si>
    <t>RS-001-b</t>
  </si>
  <si>
    <t>엔진 OFF 상태</t>
  </si>
  <si>
    <t>RS-001-c</t>
  </si>
  <si>
    <t>기어 P 위치</t>
  </si>
  <si>
    <t>RS-001-d</t>
  </si>
  <si>
    <t>배터리 잔량 5% 이상</t>
  </si>
  <si>
    <t>RS-002</t>
  </si>
  <si>
    <t>원격 시동 활성화 절차</t>
  </si>
  <si>
    <t>RS-003</t>
  </si>
  <si>
    <t>비상등 점멸 횟수</t>
  </si>
  <si>
    <t>RS-004</t>
  </si>
  <si>
    <t>원격 시동 실패 처리</t>
  </si>
  <si>
    <t>RS-005</t>
  </si>
  <si>
    <t>원격 시동 거리 경계 10.05m</t>
  </si>
  <si>
    <t>RSPA-001-a</t>
  </si>
  <si>
    <t>5km/h 이상 주행 이력</t>
  </si>
  <si>
    <t>RSPA-001-b</t>
  </si>
  <si>
    <t>현재 속도 0km/h (정차)</t>
  </si>
  <si>
    <t>RSPA-001-c</t>
  </si>
  <si>
    <t>기어 N 위치</t>
  </si>
  <si>
    <t>RSPA-001-d</t>
  </si>
  <si>
    <t>RSPA 버튼 3초 이상 누름</t>
  </si>
  <si>
    <t>RSPA-002</t>
  </si>
  <si>
    <t>RSPA 활성화 실패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</si>
</sst>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3">
    <font>
      <sz val="11"/>
      <name val="Carlito"/>
    </font>
    <font>
      <b/>
      <sz val="18"/>
      <color rgb="FF111827"/>
      <name val="Carlito"/>
    </font>
    <font>
      <b/>
      <sz val="10"/>
      <color rgb="FF475467"/>
      <name val="Carlito"/>
    </font>
    <font>
      <sz val="10"/>
      <color rgb="FF111827"/>
      <name val="Carlito"/>
    </font>
    <font>
      <b/>
      <sz val="10"/>
      <color rgb="FF111827"/>
      <name val="Carlito"/>
    </font>
    <font>
      <b/>
      <sz val="10"/>
      <color rgb="FFFFFFFF"/>
      <name val="Carlito"/>
    </font>
    <font>
      <sz val="11"/>
      <name val="Carlito"/>
    </font>
    <font>
      <b/>
      <sz val="18"/>
      <color rgb="FF000000"/>
      <name val="Carlito"/>
    </font>
    <font>
      <sz val="8"/>
      <name val="돋움"/>
      <family val="3"/>
      <charset val="129"/>
    </font>
    <font>
      <b/>
      <sz val="11"/>
      <color rgb="FF111827"/>
      <name val="Carlito"/>
    </font>
    <font>
      <b/>
      <sz val="11"/>
      <color rgb="FF111827"/>
      <name val="맑은 고딕"/>
      <family val="3"/>
      <charset val="129"/>
    </font>
    <font>
      <b/>
      <sz val="11"/>
      <color rgb="FF111827"/>
      <name val="Arial"/>
      <family val="2"/>
    </font>
    <font>
      <sz val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2F3B4D"/>
      </patternFill>
    </fill>
    <fill>
      <patternFill patternType="solid">
        <fgColor rgb="FFFFF200"/>
      </patternFill>
    </fill>
    <fill>
      <patternFill patternType="solid">
        <fgColor rgb="FFDDEBF7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2" fillId="0" borderId="0" xfId="1" applyFont="1" applyAlignment="1">
      <alignment wrapText="1"/>
    </xf>
    <xf numFmtId="0" fontId="3" fillId="0" borderId="1" xfId="1" applyFont="1" applyBorder="1" applyAlignment="1">
      <alignment vertical="top" wrapText="1"/>
    </xf>
    <xf numFmtId="0" fontId="4" fillId="2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vertical="top" wrapText="1"/>
    </xf>
    <xf numFmtId="176" fontId="3" fillId="4" borderId="1" xfId="1" applyNumberFormat="1" applyFont="1" applyFill="1" applyBorder="1" applyAlignment="1">
      <alignment vertical="top" wrapText="1"/>
    </xf>
    <xf numFmtId="0" fontId="4" fillId="5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1" fillId="0" borderId="0" xfId="1" quotePrefix="1" applyFont="1" applyAlignment="1">
      <alignment horizontal="left"/>
    </xf>
    <xf numFmtId="0" fontId="1" fillId="0" borderId="0" xfId="1" applyFont="1"/>
    <xf numFmtId="0" fontId="2" fillId="0" borderId="0" xfId="1" applyFont="1" applyAlignment="1">
      <alignment wrapText="1"/>
    </xf>
    <xf numFmtId="0" fontId="7" fillId="0" borderId="0" xfId="1" quotePrefix="1" applyFont="1" applyAlignment="1">
      <alignment horizontal="left"/>
    </xf>
    <xf numFmtId="0" fontId="7" fillId="0" borderId="0" xfId="1" applyFont="1"/>
    <xf numFmtId="0" fontId="9" fillId="0" borderId="0" xfId="1" quotePrefix="1" applyFont="1" applyAlignment="1">
      <alignment horizontal="left" wrapText="1"/>
    </xf>
    <xf numFmtId="0" fontId="9" fillId="0" borderId="0" xfId="1" applyFont="1" applyAlignment="1">
      <alignment wrapText="1"/>
    </xf>
    <xf numFmtId="0" fontId="12" fillId="0" borderId="2" xfId="1" applyFont="1" applyBorder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showGridLines="0" tabSelected="1" zoomScale="145" zoomScaleNormal="145" workbookViewId="0">
      <selection activeCell="E15" sqref="E15"/>
    </sheetView>
  </sheetViews>
  <sheetFormatPr defaultRowHeight="13.5"/>
  <cols>
    <col min="1" max="1" width="23.6875" customWidth="1"/>
    <col min="2" max="2" width="13.6875" customWidth="1"/>
    <col min="3" max="3" width="4.375" customWidth="1"/>
    <col min="4" max="4" width="16.1875" customWidth="1"/>
    <col min="5" max="5" width="13.6875" customWidth="1"/>
    <col min="6" max="6" width="4.375" customWidth="1"/>
    <col min="7" max="7" width="23.6875" customWidth="1"/>
    <col min="8" max="8" width="13.6875" customWidth="1"/>
  </cols>
  <sheetData>
    <row r="1" spans="1:8" ht="22.5">
      <c r="A1" s="12" t="s">
        <v>39</v>
      </c>
      <c r="B1" s="13" t="s">
        <v>34</v>
      </c>
      <c r="C1" s="13" t="s">
        <v>34</v>
      </c>
      <c r="D1" s="13" t="s">
        <v>34</v>
      </c>
      <c r="E1" s="13" t="s">
        <v>34</v>
      </c>
      <c r="F1" s="13" t="s">
        <v>34</v>
      </c>
      <c r="G1" s="13" t="s">
        <v>34</v>
      </c>
      <c r="H1" s="13" t="s">
        <v>34</v>
      </c>
    </row>
    <row r="4" spans="1:8">
      <c r="A4" s="4" t="s">
        <v>0</v>
      </c>
      <c r="B4" s="4" t="s">
        <v>1</v>
      </c>
      <c r="C4" s="4"/>
      <c r="D4" s="4" t="s">
        <v>2</v>
      </c>
      <c r="E4" s="4" t="s">
        <v>1</v>
      </c>
      <c r="F4" s="4"/>
      <c r="G4" s="4" t="s">
        <v>3</v>
      </c>
      <c r="H4" s="4" t="s">
        <v>1</v>
      </c>
    </row>
    <row r="5" spans="1:8">
      <c r="A5" s="2" t="s">
        <v>40</v>
      </c>
      <c r="B5" s="5">
        <f>COUNTA('02_RPAS_Testcase'!$B$4:$B$203)</f>
        <v>0</v>
      </c>
      <c r="C5" s="2"/>
      <c r="D5" s="2" t="s">
        <v>4</v>
      </c>
      <c r="E5" s="5">
        <f>COUNTIF('02_RPAS_Testcase'!$L$4:$L$203,"Pass")</f>
        <v>0</v>
      </c>
      <c r="F5" s="2"/>
      <c r="G5" s="2" t="s">
        <v>41</v>
      </c>
      <c r="H5" s="5">
        <f>COUNTA('03_Requirements_Coverage'!$A$5:$A$104)</f>
        <v>13</v>
      </c>
    </row>
    <row r="6" spans="1:8">
      <c r="A6" s="2" t="s">
        <v>5</v>
      </c>
      <c r="B6" s="5">
        <f>E5+E6+E7</f>
        <v>0</v>
      </c>
      <c r="C6" s="2"/>
      <c r="D6" s="2" t="s">
        <v>6</v>
      </c>
      <c r="E6" s="5">
        <f>COUNTIF('02_RPAS_Testcase'!$L$4:$L$203,"Fail")</f>
        <v>0</v>
      </c>
      <c r="F6" s="2"/>
      <c r="G6" s="2" t="s">
        <v>7</v>
      </c>
      <c r="H6" s="5">
        <f>COUNTIF('03_Requirements_Coverage'!$D$5:$D$104,"Covered")</f>
        <v>0</v>
      </c>
    </row>
    <row r="7" spans="1:8">
      <c r="A7" s="2" t="s">
        <v>8</v>
      </c>
      <c r="B7" s="6">
        <f>IF(B5=0,0,B6/B5)</f>
        <v>0</v>
      </c>
      <c r="C7" s="2"/>
      <c r="D7" s="2" t="s">
        <v>9</v>
      </c>
      <c r="E7" s="5">
        <f>COUNTIF('02_RPAS_Testcase'!$L$4:$L$203,"N/A")</f>
        <v>0</v>
      </c>
      <c r="F7" s="2"/>
      <c r="G7" s="2" t="s">
        <v>10</v>
      </c>
      <c r="H7" s="6">
        <f>IF(H5=0,0,H6/H5)</f>
        <v>0</v>
      </c>
    </row>
    <row r="8" spans="1:8">
      <c r="A8" s="2"/>
      <c r="B8" s="5"/>
      <c r="C8" s="2"/>
      <c r="D8" s="2" t="s">
        <v>11</v>
      </c>
      <c r="E8" s="5">
        <f>B5-E5-E6-E7</f>
        <v>0</v>
      </c>
      <c r="F8" s="2"/>
      <c r="G8" s="2" t="s">
        <v>12</v>
      </c>
      <c r="H8" s="5">
        <f>H5-H6</f>
        <v>13</v>
      </c>
    </row>
  </sheetData>
  <mergeCells count="1">
    <mergeCell ref="A1:H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"/>
  <sheetViews>
    <sheetView showGridLines="0" workbookViewId="0">
      <selection activeCell="C17" sqref="C17"/>
    </sheetView>
  </sheetViews>
  <sheetFormatPr defaultRowHeight="13.5"/>
  <cols>
    <col min="1" max="1" width="6" customWidth="1"/>
    <col min="2" max="2" width="16.1875" customWidth="1"/>
    <col min="3" max="3" width="26.1875" customWidth="1"/>
    <col min="4" max="4" width="28.6875" customWidth="1"/>
    <col min="5" max="5" width="18.125" customWidth="1"/>
    <col min="6" max="6" width="26.1875" customWidth="1"/>
    <col min="7" max="7" width="38.6875" customWidth="1"/>
    <col min="8" max="8" width="43.6875" customWidth="1"/>
    <col min="9" max="9" width="38.6875" customWidth="1"/>
    <col min="10" max="10" width="27.5" customWidth="1"/>
    <col min="11" max="11" width="37.5" customWidth="1"/>
    <col min="12" max="14" width="11.875" customWidth="1"/>
  </cols>
  <sheetData>
    <row r="1" spans="1:14" ht="22.5">
      <c r="A1" s="9" t="s">
        <v>37</v>
      </c>
      <c r="B1" s="10" t="s">
        <v>26</v>
      </c>
      <c r="C1" s="10" t="s">
        <v>26</v>
      </c>
      <c r="D1" s="10" t="s">
        <v>26</v>
      </c>
      <c r="E1" s="10" t="s">
        <v>26</v>
      </c>
      <c r="F1" s="10" t="s">
        <v>26</v>
      </c>
      <c r="G1" s="10" t="s">
        <v>26</v>
      </c>
      <c r="H1" s="10" t="s">
        <v>26</v>
      </c>
      <c r="I1" s="10" t="s">
        <v>26</v>
      </c>
      <c r="J1" s="10" t="s">
        <v>26</v>
      </c>
      <c r="K1" s="10" t="s">
        <v>26</v>
      </c>
      <c r="L1" s="10" t="s">
        <v>26</v>
      </c>
      <c r="M1" s="10" t="s">
        <v>26</v>
      </c>
      <c r="N1" s="10" t="s">
        <v>26</v>
      </c>
    </row>
    <row r="2" spans="1:14" ht="13.9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>
      <c r="A3" s="7" t="s">
        <v>13</v>
      </c>
      <c r="B3" s="7" t="s">
        <v>14</v>
      </c>
      <c r="C3" s="7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8" t="s">
        <v>23</v>
      </c>
      <c r="L3" s="8" t="s">
        <v>2</v>
      </c>
      <c r="M3" s="8" t="s">
        <v>24</v>
      </c>
      <c r="N3" s="8" t="s">
        <v>25</v>
      </c>
    </row>
    <row r="4" spans="1:14">
      <c r="A4" s="2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>
        <v>36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>
        <v>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>
        <v>38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>
        <v>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>
        <v>40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>
        <v>41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>
        <v>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>
        <v>43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>
        <v>44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>
        <v>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>
        <v>46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>
        <v>47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>
        <v>48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</sheetData>
  <mergeCells count="2">
    <mergeCell ref="A1:N1"/>
    <mergeCell ref="A2:N2"/>
  </mergeCells>
  <phoneticPr fontId="8" type="noConversion"/>
  <dataValidations count="3">
    <dataValidation type="list" sqref="L4:L203" xr:uid="{00000000-0002-0000-0200-000000000000}">
      <formula1>"Not Tested,Pass,Fail,N/A"</formula1>
    </dataValidation>
    <dataValidation type="list" sqref="M4:M203" xr:uid="{00000000-0002-0000-0200-000001000000}">
      <formula1>",Critical,Major,Minor,Info"</formula1>
    </dataValidation>
    <dataValidation type="list" sqref="N4:N203" xr:uid="{00000000-0002-0000-0200-000002000000}">
      <formula1>",P1,P2,P3,P4"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showGridLines="0" workbookViewId="0">
      <selection activeCell="B22" sqref="B22"/>
    </sheetView>
  </sheetViews>
  <sheetFormatPr defaultRowHeight="13.5"/>
  <cols>
    <col min="1" max="1" width="18.6875" customWidth="1"/>
    <col min="2" max="2" width="45" customWidth="1"/>
    <col min="3" max="4" width="16.1875" customWidth="1"/>
    <col min="5" max="5" width="45" customWidth="1"/>
    <col min="6" max="6" width="32.5" customWidth="1"/>
  </cols>
  <sheetData>
    <row r="1" spans="1:6" ht="22.5">
      <c r="A1" s="9" t="s">
        <v>38</v>
      </c>
      <c r="B1" s="10" t="s">
        <v>27</v>
      </c>
      <c r="C1" s="10" t="s">
        <v>27</v>
      </c>
      <c r="D1" s="10" t="s">
        <v>27</v>
      </c>
      <c r="E1" s="10" t="s">
        <v>27</v>
      </c>
      <c r="F1" s="10" t="s">
        <v>27</v>
      </c>
    </row>
    <row r="2" spans="1:6" ht="15.4">
      <c r="A2" s="14" t="s">
        <v>35</v>
      </c>
      <c r="B2" s="15" t="s">
        <v>36</v>
      </c>
      <c r="C2" s="15" t="s">
        <v>36</v>
      </c>
      <c r="D2" s="15" t="s">
        <v>36</v>
      </c>
      <c r="E2" s="15" t="s">
        <v>36</v>
      </c>
      <c r="F2" s="15" t="s">
        <v>36</v>
      </c>
    </row>
    <row r="3" spans="1:6" ht="13.9">
      <c r="A3" s="1"/>
      <c r="B3" s="1"/>
      <c r="C3" s="1"/>
      <c r="D3" s="1"/>
      <c r="E3" s="1"/>
      <c r="F3" s="1"/>
    </row>
    <row r="4" spans="1:6">
      <c r="A4" s="7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</row>
    <row r="5" spans="1:6">
      <c r="A5" s="16" t="s">
        <v>42</v>
      </c>
      <c r="B5" s="16" t="s">
        <v>43</v>
      </c>
      <c r="C5" s="16">
        <f>COUNTIF('02_RPAS_Testcase'!$C$4:$C$203,"*"&amp;A5&amp;"*")</f>
        <v>0</v>
      </c>
      <c r="D5" s="16" t="str">
        <f>IF(C5&gt;0,"Covered","Not Covered")</f>
        <v>Not Covered</v>
      </c>
      <c r="E5" s="2"/>
      <c r="F5" s="2"/>
    </row>
    <row r="6" spans="1:6">
      <c r="A6" s="16" t="s">
        <v>44</v>
      </c>
      <c r="B6" s="16" t="s">
        <v>45</v>
      </c>
      <c r="C6" s="16">
        <f>COUNTIF('02_RPAS_Testcase'!$C$4:$C$203,"*"&amp;A6&amp;"*")</f>
        <v>0</v>
      </c>
      <c r="D6" s="16" t="str">
        <f t="shared" ref="D5:D17" si="0">IF(C6&gt;0,"Covered","Not Covered")</f>
        <v>Not Covered</v>
      </c>
      <c r="E6" s="2"/>
      <c r="F6" s="2"/>
    </row>
    <row r="7" spans="1:6">
      <c r="A7" s="16" t="s">
        <v>46</v>
      </c>
      <c r="B7" s="16" t="s">
        <v>47</v>
      </c>
      <c r="C7" s="16">
        <f>COUNTIF('02_RPAS_Testcase'!$C$4:$C$203,"*"&amp;A7&amp;"*")</f>
        <v>0</v>
      </c>
      <c r="D7" s="16" t="str">
        <f t="shared" si="0"/>
        <v>Not Covered</v>
      </c>
      <c r="E7" s="2"/>
      <c r="F7" s="2"/>
    </row>
    <row r="8" spans="1:6">
      <c r="A8" s="16" t="s">
        <v>48</v>
      </c>
      <c r="B8" s="16" t="s">
        <v>49</v>
      </c>
      <c r="C8" s="16">
        <f>COUNTIF('02_RPAS_Testcase'!$C$4:$C$203,"*"&amp;A8&amp;"*")</f>
        <v>0</v>
      </c>
      <c r="D8" s="16" t="str">
        <f t="shared" si="0"/>
        <v>Not Covered</v>
      </c>
      <c r="E8" s="2"/>
      <c r="F8" s="2"/>
    </row>
    <row r="9" spans="1:6">
      <c r="A9" s="16" t="s">
        <v>50</v>
      </c>
      <c r="B9" s="16" t="s">
        <v>51</v>
      </c>
      <c r="C9" s="16">
        <f>COUNTIF('02_RPAS_Testcase'!$C$4:$C$203,"*"&amp;A9&amp;"*")</f>
        <v>0</v>
      </c>
      <c r="D9" s="16" t="str">
        <f t="shared" si="0"/>
        <v>Not Covered</v>
      </c>
      <c r="E9" s="2"/>
      <c r="F9" s="2"/>
    </row>
    <row r="10" spans="1:6">
      <c r="A10" s="16" t="s">
        <v>52</v>
      </c>
      <c r="B10" s="16" t="s">
        <v>53</v>
      </c>
      <c r="C10" s="16">
        <f>COUNTIF('02_RPAS_Testcase'!$C$4:$C$203,"*"&amp;A10&amp;"*")</f>
        <v>0</v>
      </c>
      <c r="D10" s="16" t="str">
        <f t="shared" si="0"/>
        <v>Not Covered</v>
      </c>
      <c r="E10" s="2"/>
      <c r="F10" s="2"/>
    </row>
    <row r="11" spans="1:6">
      <c r="A11" s="16" t="s">
        <v>54</v>
      </c>
      <c r="B11" s="16" t="s">
        <v>55</v>
      </c>
      <c r="C11" s="16">
        <f>COUNTIF('02_RPAS_Testcase'!$C$4:$C$203,"*"&amp;A11&amp;"*")</f>
        <v>0</v>
      </c>
      <c r="D11" s="16" t="str">
        <f t="shared" si="0"/>
        <v>Not Covered</v>
      </c>
      <c r="E11" s="2"/>
      <c r="F11" s="2"/>
    </row>
    <row r="12" spans="1:6">
      <c r="A12" s="16" t="s">
        <v>56</v>
      </c>
      <c r="B12" s="16" t="s">
        <v>57</v>
      </c>
      <c r="C12" s="16">
        <f>COUNTIF('02_RPAS_Testcase'!$C$4:$C$203,"*"&amp;A12&amp;"*")</f>
        <v>0</v>
      </c>
      <c r="D12" s="16" t="str">
        <f t="shared" si="0"/>
        <v>Not Covered</v>
      </c>
      <c r="E12" s="2"/>
      <c r="F12" s="2"/>
    </row>
    <row r="13" spans="1:6">
      <c r="A13" s="16" t="s">
        <v>58</v>
      </c>
      <c r="B13" s="16" t="s">
        <v>59</v>
      </c>
      <c r="C13" s="16">
        <f>COUNTIF('02_RPAS_Testcase'!$C$4:$C$203,"*"&amp;A13&amp;"*")</f>
        <v>0</v>
      </c>
      <c r="D13" s="16" t="str">
        <f t="shared" si="0"/>
        <v>Not Covered</v>
      </c>
      <c r="E13" s="2"/>
      <c r="F13" s="2"/>
    </row>
    <row r="14" spans="1:6">
      <c r="A14" s="16" t="s">
        <v>60</v>
      </c>
      <c r="B14" s="16" t="s">
        <v>61</v>
      </c>
      <c r="C14" s="16">
        <f>COUNTIF('02_RPAS_Testcase'!$C$4:$C$203,"*"&amp;A14&amp;"*")</f>
        <v>0</v>
      </c>
      <c r="D14" s="16" t="str">
        <f t="shared" si="0"/>
        <v>Not Covered</v>
      </c>
      <c r="E14" s="2"/>
      <c r="F14" s="2"/>
    </row>
    <row r="15" spans="1:6">
      <c r="A15" s="16" t="s">
        <v>62</v>
      </c>
      <c r="B15" s="16" t="s">
        <v>63</v>
      </c>
      <c r="C15" s="16">
        <f>COUNTIF('02_RPAS_Testcase'!$C$4:$C$203,"*"&amp;A15&amp;"*")</f>
        <v>0</v>
      </c>
      <c r="D15" s="16" t="str">
        <f t="shared" si="0"/>
        <v>Not Covered</v>
      </c>
      <c r="E15" s="2"/>
      <c r="F15" s="2"/>
    </row>
    <row r="16" spans="1:6">
      <c r="A16" s="16" t="s">
        <v>64</v>
      </c>
      <c r="B16" s="16" t="s">
        <v>65</v>
      </c>
      <c r="C16" s="16">
        <f>COUNTIF('02_RPAS_Testcase'!$C$4:$C$203,"*"&amp;A16&amp;"*")</f>
        <v>0</v>
      </c>
      <c r="D16" s="16" t="str">
        <f t="shared" si="0"/>
        <v>Not Covered</v>
      </c>
      <c r="E16" s="2"/>
      <c r="F16" s="2"/>
    </row>
    <row r="17" spans="1:6">
      <c r="A17" s="16" t="s">
        <v>66</v>
      </c>
      <c r="B17" s="16" t="s">
        <v>67</v>
      </c>
      <c r="C17" s="16">
        <f>COUNTIF('02_RPAS_Testcase'!$C$4:$C$203,"*"&amp;A17&amp;"*")</f>
        <v>0</v>
      </c>
      <c r="D17" s="16" t="str">
        <f t="shared" si="0"/>
        <v>Not Covered</v>
      </c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</sheetData>
  <mergeCells count="2">
    <mergeCell ref="A1:F1"/>
    <mergeCell ref="A2:F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00_Summary</vt:lpstr>
      <vt:lpstr>02_RPAS_Testcase</vt:lpstr>
      <vt:lpstr>03_Requirements_Coverage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EUNBI KIM</cp:lastModifiedBy>
  <dcterms:created xsi:type="dcterms:W3CDTF">2026-06-29T00:32:59Z</dcterms:created>
  <dcterms:modified xsi:type="dcterms:W3CDTF">2026-07-23T20:26:32Z</dcterms:modified>
</cp:coreProperties>
</file>